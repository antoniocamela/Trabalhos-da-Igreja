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21FE9BDD-A426-42DE-ADEF-0A65502C69EA}" xr6:coauthVersionLast="47" xr6:coauthVersionMax="47" xr10:uidLastSave="{00000000-0000-0000-0000-000000000000}"/>
  <bookViews>
    <workbookView xWindow="-120" yWindow="-120" windowWidth="29040" windowHeight="15840" xr2:uid="{3BC7B2EA-DCC4-4B1F-9EDC-ADE63582B7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I9" i="1"/>
  <c r="I4" i="1"/>
  <c r="I5" i="1"/>
  <c r="I6" i="1"/>
  <c r="I7" i="1"/>
  <c r="I8" i="1"/>
  <c r="I3" i="1"/>
  <c r="H9" i="1"/>
  <c r="H4" i="1"/>
  <c r="H5" i="1"/>
  <c r="H6" i="1"/>
  <c r="H7" i="1"/>
  <c r="H8" i="1"/>
  <c r="H3" i="1"/>
  <c r="G9" i="1"/>
  <c r="G4" i="1"/>
  <c r="G5" i="1"/>
  <c r="G6" i="1"/>
  <c r="G7" i="1"/>
  <c r="G8" i="1"/>
  <c r="G3" i="1"/>
  <c r="F5" i="1"/>
  <c r="F6" i="1"/>
  <c r="F7" i="1" s="1"/>
  <c r="F8" i="1" s="1"/>
  <c r="F4" i="1"/>
  <c r="E4" i="1"/>
  <c r="E5" i="1"/>
  <c r="E6" i="1"/>
  <c r="E7" i="1"/>
  <c r="E8" i="1"/>
  <c r="E3" i="1"/>
  <c r="C9" i="1"/>
  <c r="D5" i="1"/>
  <c r="D6" i="1"/>
  <c r="D7" i="1" s="1"/>
  <c r="D8" i="1" s="1"/>
  <c r="D4" i="1"/>
</calcChain>
</file>

<file path=xl/sharedStrings.xml><?xml version="1.0" encoding="utf-8"?>
<sst xmlns="http://schemas.openxmlformats.org/spreadsheetml/2006/main" count="19" uniqueCount="19">
  <si>
    <t>Taxa de maternidade Infantil</t>
  </si>
  <si>
    <t>Classes</t>
  </si>
  <si>
    <t>Xi</t>
  </si>
  <si>
    <t>fa</t>
  </si>
  <si>
    <t>Fa</t>
  </si>
  <si>
    <t>fr</t>
  </si>
  <si>
    <t>Fr</t>
  </si>
  <si>
    <t>Xifa</t>
  </si>
  <si>
    <t>[9.9,18,9[</t>
  </si>
  <si>
    <t>[18,9, 27,9[</t>
  </si>
  <si>
    <t>[27,9, 36,9[</t>
  </si>
  <si>
    <t>[36,9 , 45,9[</t>
  </si>
  <si>
    <t>[45,9, 54,9[</t>
  </si>
  <si>
    <t>[54,9, 63,9[</t>
  </si>
  <si>
    <t>Total</t>
  </si>
  <si>
    <t>Angulo</t>
  </si>
  <si>
    <t>Média</t>
  </si>
  <si>
    <t>Mediana</t>
  </si>
  <si>
    <t>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</si>
</sst>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165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7" fontId="0" fillId="0" borderId="1" xfId="0" applyNumberFormat="1" applyBorder="1"/>
    <xf numFmtId="1" fontId="0" fillId="0" borderId="1" xfId="0" applyNumberFormat="1" applyBorder="1"/>
    <xf numFmtId="0" fontId="0" fillId="0" borderId="1" xfId="0" applyFill="1" applyBorder="1"/>
    <xf numFmtId="0" fontId="0" fillId="5" borderId="0" xfId="0" applyFill="1"/>
    <xf numFmtId="0" fontId="0" fillId="6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1</xdr:row>
      <xdr:rowOff>33337</xdr:rowOff>
    </xdr:from>
    <xdr:ext cx="339773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1838D92-DF15-5EDC-430D-ED9589238CAB}"/>
                </a:ext>
              </a:extLst>
            </xdr:cNvPr>
            <xdr:cNvSpPr txBox="1"/>
          </xdr:nvSpPr>
          <xdr:spPr>
            <a:xfrm>
              <a:off x="4305300" y="223837"/>
              <a:ext cx="33977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AO" sz="11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AO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pt-AO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pt-AO" sz="110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𝑎</m:t>
                    </m:r>
                  </m:oMath>
                </m:oMathPara>
              </a14:m>
              <a:endParaRPr lang="pt-AO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1838D92-DF15-5EDC-430D-ED9589238CAB}"/>
                </a:ext>
              </a:extLst>
            </xdr:cNvPr>
            <xdr:cNvSpPr txBox="1"/>
          </xdr:nvSpPr>
          <xdr:spPr>
            <a:xfrm>
              <a:off x="4305300" y="223837"/>
              <a:ext cx="33977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AO" sz="1100" i="0">
                  <a:latin typeface="Cambria Math" panose="02040503050406030204" pitchFamily="18" charset="0"/>
                </a:rPr>
                <a:t>𝑥^2 𝑓</a:t>
              </a:r>
              <a:r>
                <a:rPr lang="pt-PT" sz="1100" b="0" i="0">
                  <a:latin typeface="Cambria Math" panose="02040503050406030204" pitchFamily="18" charset="0"/>
                </a:rPr>
                <a:t>𝑎</a:t>
              </a:r>
              <a:endParaRPr lang="pt-A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9755-5DF9-48C5-B8DF-2B5CDFBE84F8}">
  <dimension ref="A1:K36"/>
  <sheetViews>
    <sheetView tabSelected="1" workbookViewId="0">
      <selection activeCell="D13" sqref="D13"/>
    </sheetView>
  </sheetViews>
  <sheetFormatPr defaultRowHeight="15" x14ac:dyDescent="0.25"/>
  <cols>
    <col min="1" max="1" width="11.14062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10" t="s">
        <v>15</v>
      </c>
      <c r="K2" s="3">
        <v>9.9</v>
      </c>
    </row>
    <row r="3" spans="1:11" x14ac:dyDescent="0.25">
      <c r="A3" s="2" t="s">
        <v>8</v>
      </c>
      <c r="B3" s="2">
        <v>14.4</v>
      </c>
      <c r="C3" s="2">
        <v>10</v>
      </c>
      <c r="D3" s="2">
        <v>10</v>
      </c>
      <c r="E3" s="7">
        <f>C3/35</f>
        <v>0.2857142857142857</v>
      </c>
      <c r="F3" s="2">
        <v>0.28570000000000001</v>
      </c>
      <c r="G3" s="2">
        <f>C3*B3</f>
        <v>144</v>
      </c>
      <c r="H3" s="2">
        <f>B3*B3*C3</f>
        <v>2073.6000000000004</v>
      </c>
      <c r="I3" s="8">
        <f>E3*360</f>
        <v>102.85714285714285</v>
      </c>
      <c r="K3" s="3">
        <v>10.3</v>
      </c>
    </row>
    <row r="4" spans="1:11" x14ac:dyDescent="0.25">
      <c r="A4" s="2" t="s">
        <v>9</v>
      </c>
      <c r="B4" s="2">
        <v>23.4</v>
      </c>
      <c r="C4" s="2">
        <v>14</v>
      </c>
      <c r="D4" s="2">
        <f>D3+C4</f>
        <v>24</v>
      </c>
      <c r="E4" s="7">
        <f t="shared" ref="E4:E8" si="0">C4/35</f>
        <v>0.4</v>
      </c>
      <c r="F4" s="6">
        <f>F3+E4</f>
        <v>0.68569999999999998</v>
      </c>
      <c r="G4" s="2">
        <f t="shared" ref="G4:G8" si="1">C4*B4</f>
        <v>327.59999999999997</v>
      </c>
      <c r="H4" s="2">
        <f t="shared" ref="H4:H9" si="2">B4*B4*C4</f>
        <v>7665.8399999999992</v>
      </c>
      <c r="I4" s="8">
        <f t="shared" ref="I4:I9" si="3">E4*360</f>
        <v>144</v>
      </c>
      <c r="K4" s="3">
        <v>11.9</v>
      </c>
    </row>
    <row r="5" spans="1:11" x14ac:dyDescent="0.25">
      <c r="A5" s="2" t="s">
        <v>10</v>
      </c>
      <c r="B5" s="2">
        <v>32.4</v>
      </c>
      <c r="C5" s="2">
        <v>8</v>
      </c>
      <c r="D5" s="2">
        <f t="shared" ref="D5:D9" si="4">D4+C5</f>
        <v>32</v>
      </c>
      <c r="E5" s="7">
        <f t="shared" si="0"/>
        <v>0.22857142857142856</v>
      </c>
      <c r="F5" s="6">
        <f t="shared" ref="F5:F8" si="5">F4+E5</f>
        <v>0.91427142857142851</v>
      </c>
      <c r="G5" s="2">
        <f t="shared" si="1"/>
        <v>259.2</v>
      </c>
      <c r="H5" s="2">
        <f t="shared" si="2"/>
        <v>8398.08</v>
      </c>
      <c r="I5" s="8">
        <f t="shared" si="3"/>
        <v>82.285714285714278</v>
      </c>
      <c r="K5" s="3">
        <v>13.1</v>
      </c>
    </row>
    <row r="6" spans="1:11" x14ac:dyDescent="0.25">
      <c r="A6" s="2" t="s">
        <v>11</v>
      </c>
      <c r="B6" s="2">
        <v>41.4</v>
      </c>
      <c r="C6" s="2">
        <v>2</v>
      </c>
      <c r="D6" s="2">
        <f t="shared" si="4"/>
        <v>34</v>
      </c>
      <c r="E6" s="7">
        <f t="shared" si="0"/>
        <v>5.7142857142857141E-2</v>
      </c>
      <c r="F6" s="6">
        <f t="shared" si="5"/>
        <v>0.97141428571428567</v>
      </c>
      <c r="G6" s="2">
        <f t="shared" si="1"/>
        <v>82.8</v>
      </c>
      <c r="H6" s="2">
        <f t="shared" si="2"/>
        <v>3427.9199999999996</v>
      </c>
      <c r="I6" s="8">
        <f t="shared" si="3"/>
        <v>20.571428571428569</v>
      </c>
      <c r="K6" s="3">
        <v>13.9</v>
      </c>
    </row>
    <row r="7" spans="1:11" x14ac:dyDescent="0.25">
      <c r="A7" s="2" t="s">
        <v>12</v>
      </c>
      <c r="B7" s="2">
        <v>50.4</v>
      </c>
      <c r="C7" s="2">
        <v>0</v>
      </c>
      <c r="D7" s="2">
        <f t="shared" si="4"/>
        <v>34</v>
      </c>
      <c r="E7" s="7">
        <f t="shared" si="0"/>
        <v>0</v>
      </c>
      <c r="F7" s="6">
        <f t="shared" si="5"/>
        <v>0.97141428571428567</v>
      </c>
      <c r="G7" s="2">
        <f t="shared" si="1"/>
        <v>0</v>
      </c>
      <c r="H7" s="2">
        <f t="shared" si="2"/>
        <v>0</v>
      </c>
      <c r="I7" s="8">
        <f t="shared" si="3"/>
        <v>0</v>
      </c>
      <c r="K7" s="3">
        <v>15.7</v>
      </c>
    </row>
    <row r="8" spans="1:11" x14ac:dyDescent="0.25">
      <c r="A8" s="2" t="s">
        <v>13</v>
      </c>
      <c r="B8" s="2">
        <v>59.4</v>
      </c>
      <c r="C8" s="2">
        <v>1</v>
      </c>
      <c r="D8" s="2">
        <f t="shared" si="4"/>
        <v>35</v>
      </c>
      <c r="E8" s="7">
        <f t="shared" si="0"/>
        <v>2.8571428571428571E-2</v>
      </c>
      <c r="F8" s="9">
        <f t="shared" si="5"/>
        <v>0.99998571428571426</v>
      </c>
      <c r="G8" s="2">
        <f t="shared" si="1"/>
        <v>59.4</v>
      </c>
      <c r="H8" s="2">
        <f t="shared" si="2"/>
        <v>3528.3599999999997</v>
      </c>
      <c r="I8" s="8">
        <f t="shared" si="3"/>
        <v>10.285714285714285</v>
      </c>
      <c r="K8" s="3">
        <v>17</v>
      </c>
    </row>
    <row r="9" spans="1:11" x14ac:dyDescent="0.25">
      <c r="A9" s="2" t="s">
        <v>14</v>
      </c>
      <c r="B9" s="2"/>
      <c r="C9" s="2">
        <f>SUM(C3:C8)</f>
        <v>35</v>
      </c>
      <c r="D9" s="2"/>
      <c r="E9" s="2"/>
      <c r="F9" s="2"/>
      <c r="G9" s="2">
        <f>SUM(G3:G8)</f>
        <v>872.99999999999989</v>
      </c>
      <c r="H9" s="2">
        <f>SUM(H3:H8)</f>
        <v>25093.799999999996</v>
      </c>
      <c r="I9" s="8">
        <f>SUM(I3:I8)</f>
        <v>359.99999999999994</v>
      </c>
      <c r="K9" s="3">
        <v>18</v>
      </c>
    </row>
    <row r="10" spans="1:11" x14ac:dyDescent="0.25">
      <c r="K10" s="3">
        <v>18.3</v>
      </c>
    </row>
    <row r="11" spans="1:11" x14ac:dyDescent="0.25">
      <c r="C11" t="s">
        <v>16</v>
      </c>
      <c r="D11" s="13">
        <f>AVERAGE(K2:K36)</f>
        <v>24.725714285714282</v>
      </c>
      <c r="K11" s="3">
        <v>18.399999999999999</v>
      </c>
    </row>
    <row r="12" spans="1:11" x14ac:dyDescent="0.25">
      <c r="C12" t="s">
        <v>17</v>
      </c>
      <c r="K12" s="4">
        <v>19.600000000000001</v>
      </c>
    </row>
    <row r="13" spans="1:11" x14ac:dyDescent="0.25">
      <c r="C13" t="s">
        <v>18</v>
      </c>
      <c r="K13" s="4">
        <v>20</v>
      </c>
    </row>
    <row r="14" spans="1:11" x14ac:dyDescent="0.25">
      <c r="K14" s="4">
        <v>20</v>
      </c>
    </row>
    <row r="15" spans="1:11" x14ac:dyDescent="0.25">
      <c r="K15" s="4">
        <v>20.3</v>
      </c>
    </row>
    <row r="16" spans="1:11" x14ac:dyDescent="0.25">
      <c r="K16" s="4">
        <v>21.7</v>
      </c>
    </row>
    <row r="17" spans="11:11" x14ac:dyDescent="0.25">
      <c r="K17" s="4">
        <v>22</v>
      </c>
    </row>
    <row r="18" spans="11:11" x14ac:dyDescent="0.25">
      <c r="K18" s="4">
        <v>22.6</v>
      </c>
    </row>
    <row r="19" spans="11:11" x14ac:dyDescent="0.25">
      <c r="K19" s="4">
        <v>22.7</v>
      </c>
    </row>
    <row r="20" spans="11:11" x14ac:dyDescent="0.25">
      <c r="K20" s="4">
        <v>23.5</v>
      </c>
    </row>
    <row r="21" spans="11:11" x14ac:dyDescent="0.25">
      <c r="K21" s="4">
        <v>23.7</v>
      </c>
    </row>
    <row r="22" spans="11:11" x14ac:dyDescent="0.25">
      <c r="K22" s="4">
        <v>23.8</v>
      </c>
    </row>
    <row r="23" spans="11:11" x14ac:dyDescent="0.25">
      <c r="K23" s="4">
        <v>25.4</v>
      </c>
    </row>
    <row r="24" spans="11:11" x14ac:dyDescent="0.25">
      <c r="K24" s="4">
        <v>27.2</v>
      </c>
    </row>
    <row r="25" spans="11:11" x14ac:dyDescent="0.25">
      <c r="K25" s="4">
        <v>27.3</v>
      </c>
    </row>
    <row r="26" spans="11:11" x14ac:dyDescent="0.25">
      <c r="K26" s="5">
        <v>28.9</v>
      </c>
    </row>
    <row r="27" spans="11:11" x14ac:dyDescent="0.25">
      <c r="K27" s="5">
        <v>29.7</v>
      </c>
    </row>
    <row r="28" spans="11:11" x14ac:dyDescent="0.25">
      <c r="K28" s="5">
        <v>29.9</v>
      </c>
    </row>
    <row r="29" spans="11:11" x14ac:dyDescent="0.25">
      <c r="K29" s="5">
        <v>32.299999999999997</v>
      </c>
    </row>
    <row r="30" spans="11:11" x14ac:dyDescent="0.25">
      <c r="K30" s="5">
        <v>32.9</v>
      </c>
    </row>
    <row r="31" spans="11:11" x14ac:dyDescent="0.25">
      <c r="K31" s="5">
        <v>33</v>
      </c>
    </row>
    <row r="32" spans="11:11" x14ac:dyDescent="0.25">
      <c r="K32" s="5">
        <v>36.299999999999997</v>
      </c>
    </row>
    <row r="33" spans="11:11" x14ac:dyDescent="0.25">
      <c r="K33" s="5">
        <v>36.4</v>
      </c>
    </row>
    <row r="34" spans="11:11" x14ac:dyDescent="0.25">
      <c r="K34" s="11">
        <v>38.299999999999997</v>
      </c>
    </row>
    <row r="35" spans="11:11" x14ac:dyDescent="0.25">
      <c r="K35" s="11">
        <v>39.200000000000003</v>
      </c>
    </row>
    <row r="36" spans="11:11" x14ac:dyDescent="0.25">
      <c r="K36" s="12">
        <v>62.2</v>
      </c>
    </row>
  </sheetData>
  <sortState xmlns:xlrd2="http://schemas.microsoft.com/office/spreadsheetml/2017/richdata2" ref="K2:K36">
    <sortCondition ref="K2:K36"/>
  </sortState>
  <mergeCells count="1">
    <mergeCell ref="A1:I1"/>
  </mergeCells>
  <pageMargins left="0.511811024" right="0.511811024" top="0.78740157499999996" bottom="0.78740157499999996" header="0.31496062000000002" footer="0.31496062000000002"/>
  <ignoredErrors>
    <ignoredError sqref="E4 E5:E8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lusida</dc:creator>
  <cp:lastModifiedBy>lusida</cp:lastModifiedBy>
  <dcterms:created xsi:type="dcterms:W3CDTF">2026-04-21T07:34:26Z</dcterms:created>
  <dcterms:modified xsi:type="dcterms:W3CDTF">2026-04-21T09:31:55Z</dcterms:modified>
</cp:coreProperties>
</file>